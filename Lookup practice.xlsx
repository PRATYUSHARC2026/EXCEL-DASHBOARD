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1f22fa4183dd71/Desktop/Excel/"/>
    </mc:Choice>
  </mc:AlternateContent>
  <xr:revisionPtr revIDLastSave="1" documentId="8_{4CD03B93-1C6E-4831-9403-A505B693805E}" xr6:coauthVersionLast="47" xr6:coauthVersionMax="47" xr10:uidLastSave="{7FC92CB8-B0B3-4E5A-820F-BBADF5D950B1}"/>
  <bookViews>
    <workbookView xWindow="-108" yWindow="-108" windowWidth="23256" windowHeight="12456" activeTab="1" xr2:uid="{7B653ECB-3291-4EFE-B7D1-C7D116F109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6" i="2"/>
  <c r="C17" i="1"/>
  <c r="D17" i="1"/>
  <c r="B17" i="1"/>
  <c r="B20" i="1"/>
  <c r="D16" i="1"/>
  <c r="C16" i="1"/>
  <c r="B16" i="1"/>
</calcChain>
</file>

<file path=xl/sharedStrings.xml><?xml version="1.0" encoding="utf-8"?>
<sst xmlns="http://schemas.openxmlformats.org/spreadsheetml/2006/main" count="72" uniqueCount="55">
  <si>
    <t>Emp ID</t>
  </si>
  <si>
    <t>Employee Name</t>
  </si>
  <si>
    <t>Department</t>
  </si>
  <si>
    <t>Location</t>
  </si>
  <si>
    <t>Monthly Sales (₹)</t>
  </si>
  <si>
    <t>Customer Rating</t>
  </si>
  <si>
    <t>Projects Completed</t>
  </si>
  <si>
    <t>E101</t>
  </si>
  <si>
    <t>Amit Sharma</t>
  </si>
  <si>
    <t>Sales</t>
  </si>
  <si>
    <t>Mumbai</t>
  </si>
  <si>
    <t>E102</t>
  </si>
  <si>
    <t>Priya Singh</t>
  </si>
  <si>
    <t>HR</t>
  </si>
  <si>
    <t>Delhi</t>
  </si>
  <si>
    <t>E103</t>
  </si>
  <si>
    <t>Rahul Verma</t>
  </si>
  <si>
    <t>IT</t>
  </si>
  <si>
    <t>Pune</t>
  </si>
  <si>
    <t>E104</t>
  </si>
  <si>
    <t>Neha Gupta</t>
  </si>
  <si>
    <t>Finance</t>
  </si>
  <si>
    <t>Hyderabad</t>
  </si>
  <si>
    <t>E105</t>
  </si>
  <si>
    <t>Arjun Patel</t>
  </si>
  <si>
    <t>Marketing</t>
  </si>
  <si>
    <t>Ahmedabad</t>
  </si>
  <si>
    <t>E106</t>
  </si>
  <si>
    <t>Sneha Jain</t>
  </si>
  <si>
    <t>Bangalore</t>
  </si>
  <si>
    <t>E107</t>
  </si>
  <si>
    <t>Karan Mehta</t>
  </si>
  <si>
    <t>Chennai</t>
  </si>
  <si>
    <t>E108</t>
  </si>
  <si>
    <t>Pooja Roy</t>
  </si>
  <si>
    <t>Kolkata</t>
  </si>
  <si>
    <t>E109</t>
  </si>
  <si>
    <t>Vikram Shah</t>
  </si>
  <si>
    <t>Surat</t>
  </si>
  <si>
    <t>E110</t>
  </si>
  <si>
    <t>Anjali Das</t>
  </si>
  <si>
    <t>Jaipur</t>
  </si>
  <si>
    <t>Lookup Area</t>
  </si>
  <si>
    <t>Employee ID</t>
  </si>
  <si>
    <t>Find Customer Rating of Rahul Verma.</t>
  </si>
  <si>
    <t>Find Projects Completed by Sneha Jain.</t>
  </si>
  <si>
    <t>Find Location of Vikram Shah.</t>
  </si>
  <si>
    <t>EmpID</t>
  </si>
  <si>
    <t>Name</t>
  </si>
  <si>
    <t>Salary</t>
  </si>
  <si>
    <t>Amit</t>
  </si>
  <si>
    <t>Rahul</t>
  </si>
  <si>
    <t>Sneha</t>
  </si>
  <si>
    <t>Vikram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</si>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</sst>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C5F32-38D8-4F50-A852-5CD44AF7C387}" name="Table1" displayName="Table1" ref="A1:G11" totalsRowShown="0" headerRowDxfId="11" dataDxfId="10">
  <autoFilter ref="A1:G11" xr:uid="{564C5F32-38D8-4F50-A852-5CD44AF7C387}"/>
  <tableColumns count="7">
    <tableColumn id="1" xr3:uid="{2765D3FA-B531-48D5-8DA5-B76313E12E4E}" name="Emp ID" dataDxfId="9"/>
    <tableColumn id="2" xr3:uid="{8211C40D-05E1-453F-860B-8304F9F624F2}" name="Employee Name" dataDxfId="8"/>
    <tableColumn id="3" xr3:uid="{10197D78-D371-4018-8088-243EDCCADA49}" name="Department" dataDxfId="7"/>
    <tableColumn id="4" xr3:uid="{71D16B14-183C-4E68-A97B-EC15950806F0}" name="Location" dataDxfId="6"/>
    <tableColumn id="5" xr3:uid="{1CD2CD5C-EF83-47D3-857A-E975E6CD2EA7}" name="Monthly Sales (₹)" dataDxfId="5"/>
    <tableColumn id="6" xr3:uid="{3BA3BFFF-3F0F-4261-A53C-75A33D06A65E}" name="Customer Rating" dataDxfId="4"/>
    <tableColumn id="7" xr3:uid="{6EEEBD08-30C8-46C0-BD55-F3FC9F9E7B0B}" name="Projects Complet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C5FABA-4F0B-46E4-83C0-A360643C7D67}" name="Table3" displayName="Table3" ref="A15:D17" totalsRowShown="0" headerRowDxfId="2">
  <autoFilter ref="A15:D17" xr:uid="{DCC5FABA-4F0B-46E4-83C0-A360643C7D67}"/>
  <tableColumns count="4">
    <tableColumn id="1" xr3:uid="{BCFF2A44-C7E8-46E1-AE07-C8817DF5D91D}" name="Employee ID" dataDxfId="1"/>
    <tableColumn id="2" xr3:uid="{3B2D1912-B922-4E48-820B-C480312998CA}" name="Employee Name" dataDxfId="0">
      <calculatedColumnFormula>VLOOKUP(Table3[[#This Row],[Employee ID]],Table1[],2,)</calculatedColumnFormula>
    </tableColumn>
    <tableColumn id="3" xr3:uid="{6B16B25B-AA46-49FE-A16A-D6504C40FD8B}" name="Department">
      <calculatedColumnFormula>VLOOKUP(Table3[[#This Row],[Employee ID]],Table1[],3,)</calculatedColumnFormula>
    </tableColumn>
    <tableColumn id="4" xr3:uid="{FF88148F-DDEE-403E-A348-D86DFEA0A542}" name="Sales">
      <calculatedColumnFormula>VLOOKUP(Table3[[#This Row],[Employee ID]],Table1[],5,)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7D25-16CC-4D23-9B5F-437F3E0BC925}">
  <sheetPr codeName="Sheet1"/>
  <dimension ref="A1:G22"/>
  <sheetViews>
    <sheetView zoomScale="150" workbookViewId="0">
      <selection activeCell="E5" sqref="E5"/>
    </sheetView>
  </sheetViews>
  <sheetFormatPr defaultRowHeight="14.4" x14ac:dyDescent="0.3"/>
  <cols>
    <col min="1" max="1" width="32.5546875" bestFit="1" customWidth="1"/>
    <col min="2" max="2" width="19.109375" bestFit="1" customWidth="1"/>
    <col min="3" max="3" width="15.44140625" bestFit="1" customWidth="1"/>
    <col min="4" max="4" width="12.5546875" bestFit="1" customWidth="1"/>
    <col min="5" max="5" width="19.6640625" bestFit="1" customWidth="1"/>
    <col min="6" max="6" width="19.21875" bestFit="1" customWidth="1"/>
    <col min="7" max="7" width="22.21875" bestFit="1" customWidth="1"/>
    <col min="9" max="9" width="14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450000</v>
      </c>
      <c r="F2" s="2">
        <v>4.5</v>
      </c>
      <c r="G2" s="2">
        <v>12</v>
      </c>
    </row>
    <row r="3" spans="1:7" x14ac:dyDescent="0.3">
      <c r="A3" s="2" t="s">
        <v>11</v>
      </c>
      <c r="B3" s="2" t="s">
        <v>12</v>
      </c>
      <c r="C3" s="2" t="s">
        <v>13</v>
      </c>
      <c r="D3" s="2" t="s">
        <v>14</v>
      </c>
      <c r="E3" s="2">
        <v>180000</v>
      </c>
      <c r="F3" s="2">
        <v>4.2</v>
      </c>
      <c r="G3" s="2">
        <v>8</v>
      </c>
    </row>
    <row r="4" spans="1:7" x14ac:dyDescent="0.3">
      <c r="A4" s="2" t="s">
        <v>15</v>
      </c>
      <c r="B4" s="2" t="s">
        <v>16</v>
      </c>
      <c r="C4" s="2" t="s">
        <v>17</v>
      </c>
      <c r="D4" s="2" t="s">
        <v>18</v>
      </c>
      <c r="E4" s="2">
        <v>520000</v>
      </c>
      <c r="F4" s="2">
        <v>4.8</v>
      </c>
      <c r="G4" s="2">
        <v>15</v>
      </c>
    </row>
    <row r="5" spans="1:7" x14ac:dyDescent="0.3">
      <c r="A5" s="2" t="s">
        <v>19</v>
      </c>
      <c r="B5" s="2" t="s">
        <v>20</v>
      </c>
      <c r="C5" s="2" t="s">
        <v>21</v>
      </c>
      <c r="D5" s="2" t="s">
        <v>22</v>
      </c>
      <c r="E5" s="2">
        <v>390000</v>
      </c>
      <c r="F5" s="2">
        <v>4.0999999999999996</v>
      </c>
      <c r="G5" s="2">
        <v>10</v>
      </c>
    </row>
    <row r="6" spans="1:7" x14ac:dyDescent="0.3">
      <c r="A6" s="2" t="s">
        <v>23</v>
      </c>
      <c r="B6" s="2" t="s">
        <v>24</v>
      </c>
      <c r="C6" s="2" t="s">
        <v>25</v>
      </c>
      <c r="D6" s="2" t="s">
        <v>26</v>
      </c>
      <c r="E6" s="2">
        <v>610000</v>
      </c>
      <c r="F6" s="2">
        <v>4.9000000000000004</v>
      </c>
      <c r="G6" s="2">
        <v>18</v>
      </c>
    </row>
    <row r="7" spans="1:7" x14ac:dyDescent="0.3">
      <c r="A7" s="2" t="s">
        <v>27</v>
      </c>
      <c r="B7" s="2" t="s">
        <v>28</v>
      </c>
      <c r="C7" s="2" t="s">
        <v>17</v>
      </c>
      <c r="D7" s="2" t="s">
        <v>29</v>
      </c>
      <c r="E7" s="2">
        <v>580000</v>
      </c>
      <c r="F7" s="2">
        <v>4.7</v>
      </c>
      <c r="G7" s="2">
        <v>16</v>
      </c>
    </row>
    <row r="8" spans="1:7" x14ac:dyDescent="0.3">
      <c r="A8" s="2" t="s">
        <v>30</v>
      </c>
      <c r="B8" s="2" t="s">
        <v>31</v>
      </c>
      <c r="C8" s="2" t="s">
        <v>9</v>
      </c>
      <c r="D8" s="2" t="s">
        <v>32</v>
      </c>
      <c r="E8" s="2">
        <v>470000</v>
      </c>
      <c r="F8" s="2">
        <v>4.3</v>
      </c>
      <c r="G8" s="2">
        <v>11</v>
      </c>
    </row>
    <row r="9" spans="1:7" x14ac:dyDescent="0.3">
      <c r="A9" s="2" t="s">
        <v>33</v>
      </c>
      <c r="B9" s="2" t="s">
        <v>34</v>
      </c>
      <c r="C9" s="2" t="s">
        <v>13</v>
      </c>
      <c r="D9" s="2" t="s">
        <v>35</v>
      </c>
      <c r="E9" s="2">
        <v>220000</v>
      </c>
      <c r="F9" s="2">
        <v>4.4000000000000004</v>
      </c>
      <c r="G9" s="2">
        <v>9</v>
      </c>
    </row>
    <row r="10" spans="1:7" x14ac:dyDescent="0.3">
      <c r="A10" s="2" t="s">
        <v>36</v>
      </c>
      <c r="B10" s="2" t="s">
        <v>37</v>
      </c>
      <c r="C10" s="2" t="s">
        <v>21</v>
      </c>
      <c r="D10" s="2" t="s">
        <v>38</v>
      </c>
      <c r="E10" s="2">
        <v>430000</v>
      </c>
      <c r="F10" s="2">
        <v>4.5999999999999996</v>
      </c>
      <c r="G10" s="2">
        <v>13</v>
      </c>
    </row>
    <row r="11" spans="1:7" x14ac:dyDescent="0.3">
      <c r="A11" s="2" t="s">
        <v>39</v>
      </c>
      <c r="B11" s="2" t="s">
        <v>40</v>
      </c>
      <c r="C11" s="2" t="s">
        <v>25</v>
      </c>
      <c r="D11" s="2" t="s">
        <v>41</v>
      </c>
      <c r="E11" s="2">
        <v>550000</v>
      </c>
      <c r="F11" s="2">
        <v>4.8</v>
      </c>
      <c r="G11" s="2">
        <v>17</v>
      </c>
    </row>
    <row r="13" spans="1:7" ht="18" x14ac:dyDescent="0.3">
      <c r="A13" s="3" t="s">
        <v>42</v>
      </c>
    </row>
    <row r="15" spans="1:7" x14ac:dyDescent="0.3">
      <c r="A15" s="1" t="s">
        <v>43</v>
      </c>
      <c r="B15" s="1" t="s">
        <v>1</v>
      </c>
      <c r="C15" s="1" t="s">
        <v>2</v>
      </c>
      <c r="D15" s="1" t="s">
        <v>9</v>
      </c>
    </row>
    <row r="16" spans="1:7" x14ac:dyDescent="0.3">
      <c r="A16" s="2" t="s">
        <v>36</v>
      </c>
      <c r="B16" s="2" t="str">
        <f>VLOOKUP(Table3[[#This Row],[Employee ID]],Table1[],2,)</f>
        <v>Vikram Shah</v>
      </c>
      <c r="C16" t="str">
        <f>VLOOKUP(Table3[[#This Row],[Employee ID]],Table1[],3,)</f>
        <v>Finance</v>
      </c>
      <c r="D16">
        <f>VLOOKUP(Table3[[#This Row],[Employee ID]],Table1[],5,)</f>
        <v>430000</v>
      </c>
    </row>
    <row r="17" spans="1:4" x14ac:dyDescent="0.3">
      <c r="A17" s="2" t="s">
        <v>39</v>
      </c>
      <c r="B17" s="2" t="str">
        <f>VLOOKUP(Table3[[#This Row],[Employee ID]],Table1[],2,)</f>
        <v>Anjali Das</v>
      </c>
      <c r="C17" t="str">
        <f>VLOOKUP(Table3[[#This Row],[Employee ID]],Table1[],3,)</f>
        <v>Marketing</v>
      </c>
      <c r="D17">
        <f>VLOOKUP(Table3[[#This Row],[Employee ID]],Table1[],5,)</f>
        <v>550000</v>
      </c>
    </row>
    <row r="20" spans="1:4" x14ac:dyDescent="0.3">
      <c r="A20" t="s">
        <v>44</v>
      </c>
      <c r="B20">
        <f>VLOOKUP(A4,Table1[],6,FALSE)</f>
        <v>4.8</v>
      </c>
    </row>
    <row r="21" spans="1:4" x14ac:dyDescent="0.3">
      <c r="A21" t="s">
        <v>45</v>
      </c>
    </row>
    <row r="22" spans="1:4" x14ac:dyDescent="0.3">
      <c r="A22" t="s">
        <v>46</v>
      </c>
      <c r="B22" s="4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443A-4365-4ED6-A669-F1CE30E94F7D}">
  <dimension ref="A1:F7"/>
  <sheetViews>
    <sheetView tabSelected="1" zoomScale="181" workbookViewId="0">
      <selection activeCell="E2" sqref="E2"/>
    </sheetView>
  </sheetViews>
  <sheetFormatPr defaultRowHeight="14.4" x14ac:dyDescent="0.3"/>
  <sheetData>
    <row r="1" spans="1:6" x14ac:dyDescent="0.3">
      <c r="A1" s="5" t="s">
        <v>47</v>
      </c>
      <c r="B1" t="s">
        <v>7</v>
      </c>
      <c r="C1" t="s">
        <v>11</v>
      </c>
      <c r="D1" t="s">
        <v>15</v>
      </c>
      <c r="E1" t="s">
        <v>19</v>
      </c>
      <c r="F1" t="s">
        <v>23</v>
      </c>
    </row>
    <row r="2" spans="1:6" x14ac:dyDescent="0.3">
      <c r="A2" s="5" t="s">
        <v>48</v>
      </c>
      <c r="B2" s="6" t="s">
        <v>50</v>
      </c>
      <c r="C2" s="6" t="s">
        <v>51</v>
      </c>
      <c r="D2" s="7" t="s">
        <v>52</v>
      </c>
      <c r="E2" s="6" t="s">
        <v>53</v>
      </c>
      <c r="F2" s="7" t="s">
        <v>54</v>
      </c>
    </row>
    <row r="3" spans="1:6" x14ac:dyDescent="0.3">
      <c r="A3" s="5" t="s">
        <v>49</v>
      </c>
      <c r="B3">
        <v>34442</v>
      </c>
      <c r="C3">
        <v>45767</v>
      </c>
      <c r="D3">
        <v>45211</v>
      </c>
      <c r="E3">
        <v>24555</v>
      </c>
      <c r="F3">
        <v>34522</v>
      </c>
    </row>
    <row r="6" spans="1:6" x14ac:dyDescent="0.3">
      <c r="C6" t="s">
        <v>48</v>
      </c>
      <c r="D6" t="str">
        <f>HLOOKUP("E104",A1:F3,2,FALSE)</f>
        <v>Vikram</v>
      </c>
    </row>
    <row r="7" spans="1:6" x14ac:dyDescent="0.3">
      <c r="C7" t="s">
        <v>49</v>
      </c>
      <c r="D7">
        <f>HLOOKUP(E1,A1:F3,3,FALSE)</f>
        <v>24555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jha</dc:creator>
  <cp:lastModifiedBy>pratyush jha</cp:lastModifiedBy>
  <dcterms:created xsi:type="dcterms:W3CDTF">2026-06-20T06:36:44Z</dcterms:created>
  <dcterms:modified xsi:type="dcterms:W3CDTF">2026-07-31T04:37:00Z</dcterms:modified>
</cp:coreProperties>
</file>